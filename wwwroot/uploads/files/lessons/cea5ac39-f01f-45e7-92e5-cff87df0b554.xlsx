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e16d2521670eab/Documents/"/>
    </mc:Choice>
  </mc:AlternateContent>
  <xr:revisionPtr revIDLastSave="25" documentId="13_ncr:1_{EBE8BB43-546E-4894-B318-D56C0E559412}" xr6:coauthVersionLast="47" xr6:coauthVersionMax="47" xr10:uidLastSave="{D5DA492B-C83A-45C9-AA8B-8531DB35A81F}"/>
  <bookViews>
    <workbookView xWindow="-28920" yWindow="-120" windowWidth="29040" windowHeight="15720" activeTab="1" xr2:uid="{00000000-000D-0000-FFFF-FFFF00000000}"/>
  </bookViews>
  <sheets>
    <sheet name="HK6 2024-2025" sheetId="1" r:id="rId1"/>
    <sheet name="HK7 2025-2026" sheetId="2" r:id="rId2"/>
    <sheet name="HK8 2025-2026" sheetId="3" r:id="rId3"/>
    <sheet name="Semi-final Year 2026 - 2027" sheetId="5" r:id="rId4"/>
    <sheet name="Final Year 2026 - 2027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O8" i="2" s="1"/>
  <c r="L9" i="2"/>
  <c r="L10" i="2"/>
  <c r="O10" i="2" s="1"/>
  <c r="L11" i="2"/>
  <c r="O11" i="2" s="1"/>
  <c r="L12" i="2"/>
  <c r="O12" i="2" s="1"/>
  <c r="L13" i="2"/>
  <c r="O13" i="2" s="1"/>
  <c r="L14" i="2"/>
  <c r="O14" i="2" s="1"/>
  <c r="L15" i="2"/>
  <c r="O15" i="2" s="1"/>
  <c r="L16" i="2"/>
  <c r="L17" i="2"/>
  <c r="L18" i="2"/>
  <c r="L19" i="2"/>
  <c r="L20" i="2"/>
  <c r="O20" i="2" s="1"/>
  <c r="L21" i="2"/>
  <c r="O21" i="2" s="1"/>
  <c r="L7" i="2"/>
  <c r="L14" i="1"/>
  <c r="L15" i="1"/>
  <c r="L16" i="1"/>
  <c r="L17" i="1"/>
  <c r="L18" i="1"/>
  <c r="M18" i="1" s="1"/>
  <c r="L19" i="1"/>
  <c r="M19" i="1" s="1"/>
  <c r="L20" i="1"/>
  <c r="L21" i="1"/>
  <c r="M21" i="1" s="1"/>
  <c r="L22" i="1"/>
  <c r="L23" i="1"/>
  <c r="L24" i="1"/>
  <c r="L25" i="1"/>
  <c r="L26" i="1"/>
  <c r="M26" i="1" s="1"/>
  <c r="L27" i="1"/>
  <c r="L13" i="1"/>
  <c r="M22" i="1"/>
  <c r="M14" i="1"/>
  <c r="M16" i="1"/>
  <c r="M24" i="1"/>
  <c r="M23" i="1"/>
  <c r="M27" i="1"/>
  <c r="M20" i="1"/>
  <c r="G23" i="2"/>
  <c r="H23" i="2"/>
  <c r="O19" i="2"/>
  <c r="O18" i="2"/>
  <c r="O17" i="2"/>
  <c r="O16" i="2"/>
  <c r="O9" i="2"/>
  <c r="M15" i="1"/>
  <c r="M17" i="1"/>
  <c r="M25" i="1"/>
  <c r="L23" i="2" l="1"/>
  <c r="O23" i="2" s="1"/>
  <c r="M7" i="2"/>
  <c r="M9" i="2"/>
  <c r="M11" i="2"/>
  <c r="M13" i="2"/>
  <c r="M15" i="2"/>
  <c r="M17" i="2"/>
  <c r="M19" i="2"/>
  <c r="M21" i="2"/>
  <c r="N7" i="2"/>
  <c r="N9" i="2"/>
  <c r="N11" i="2"/>
  <c r="N13" i="2"/>
  <c r="N15" i="2"/>
  <c r="N17" i="2"/>
  <c r="N19" i="2"/>
  <c r="N21" i="2"/>
  <c r="O7" i="2"/>
  <c r="M8" i="2"/>
  <c r="M10" i="2"/>
  <c r="M12" i="2"/>
  <c r="M14" i="2"/>
  <c r="M16" i="2"/>
  <c r="M18" i="2"/>
  <c r="M20" i="2"/>
  <c r="N8" i="2"/>
  <c r="N10" i="2"/>
  <c r="N12" i="2"/>
  <c r="N14" i="2"/>
  <c r="N16" i="2"/>
  <c r="N18" i="2"/>
  <c r="N20" i="2"/>
  <c r="H29" i="1"/>
  <c r="G29" i="1"/>
  <c r="O22" i="1"/>
  <c r="O24" i="1"/>
  <c r="N25" i="1"/>
  <c r="N24" i="1"/>
  <c r="N26" i="1"/>
  <c r="N27" i="1"/>
  <c r="O26" i="1"/>
  <c r="O27" i="1"/>
  <c r="N23" i="2" l="1"/>
  <c r="M23" i="2"/>
  <c r="N22" i="1"/>
  <c r="O23" i="1"/>
  <c r="N23" i="1"/>
  <c r="O25" i="1"/>
  <c r="N13" i="1"/>
  <c r="L29" i="1" l="1"/>
  <c r="O21" i="1"/>
  <c r="N21" i="1"/>
  <c r="N16" i="1"/>
  <c r="O16" i="1"/>
  <c r="O15" i="1"/>
  <c r="N15" i="1"/>
  <c r="N14" i="1"/>
  <c r="O14" i="1"/>
  <c r="O18" i="1"/>
  <c r="N18" i="1"/>
  <c r="N19" i="1"/>
  <c r="O19" i="1"/>
  <c r="N17" i="1"/>
  <c r="O17" i="1"/>
  <c r="O20" i="1"/>
  <c r="N20" i="1"/>
  <c r="O13" i="1"/>
  <c r="M13" i="1"/>
  <c r="M29" i="1" s="1"/>
  <c r="O29" i="1" l="1"/>
  <c r="N29" i="1"/>
</calcChain>
</file>

<file path=xl/sharedStrings.xml><?xml version="1.0" encoding="utf-8"?>
<sst xmlns="http://schemas.openxmlformats.org/spreadsheetml/2006/main" count="57" uniqueCount="43">
  <si>
    <t>STT</t>
  </si>
  <si>
    <t>Môn học</t>
  </si>
  <si>
    <t>Điểm</t>
  </si>
  <si>
    <t>CC</t>
  </si>
  <si>
    <t>TX</t>
  </si>
  <si>
    <t>Thi</t>
  </si>
  <si>
    <t>TB</t>
  </si>
  <si>
    <t>Hệ 10</t>
  </si>
  <si>
    <t>Hệ 4</t>
  </si>
  <si>
    <t>Chữ</t>
  </si>
  <si>
    <t>Số tín chỉ</t>
  </si>
  <si>
    <t>Tổng</t>
  </si>
  <si>
    <t>Xếp loại</t>
  </si>
  <si>
    <t>Họ và tên</t>
  </si>
  <si>
    <t>Khoa</t>
  </si>
  <si>
    <t>Địa chỉ</t>
  </si>
  <si>
    <t>Trường</t>
  </si>
  <si>
    <t>Ngày sinh</t>
  </si>
  <si>
    <t>Phạm Trần Nhật Quang</t>
  </si>
  <si>
    <t>16/06/2004</t>
  </si>
  <si>
    <t>HVKTQS</t>
  </si>
  <si>
    <t>CNTT58</t>
  </si>
  <si>
    <t>Hanoi</t>
  </si>
  <si>
    <t>Chiến thuật c, d</t>
  </si>
  <si>
    <t>Cơ sở văn hóa VN</t>
  </si>
  <si>
    <t>Dân tộc học &amp; tôn giáo học</t>
  </si>
  <si>
    <t>Ngôn ngữ lập trình 2</t>
  </si>
  <si>
    <t>Hậu cần tài chính QĐ</t>
  </si>
  <si>
    <t>Đảm bảo và an toàn thông tin</t>
  </si>
  <si>
    <t>Phân tích và thiết kế giải thuật</t>
  </si>
  <si>
    <t>Cơ sở lý thuyết các HT C4I</t>
  </si>
  <si>
    <t>Cơ sở dữ liệu</t>
  </si>
  <si>
    <t>Thực tập CSDL</t>
  </si>
  <si>
    <t xml:space="preserve">ĐIỂM HỌC KỲ </t>
  </si>
  <si>
    <t>Lịch sử ĐCSVN + TL</t>
  </si>
  <si>
    <t>Chiến thuật e, fBB</t>
  </si>
  <si>
    <t>Tiếng Anh B11</t>
  </si>
  <si>
    <t>Hệ thống thông tin hỗ trợ QLĐH</t>
  </si>
  <si>
    <t>Quản trị mạng</t>
  </si>
  <si>
    <t>Công nghệ phần mềm</t>
  </si>
  <si>
    <t>Công nghệ Web</t>
  </si>
  <si>
    <t>Tương tác người máy</t>
  </si>
  <si>
    <t>Thực tập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</si>
</sst>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O30"/>
  <sheetViews>
    <sheetView topLeftCell="A8" zoomScale="85" zoomScaleNormal="85" workbookViewId="0">
      <selection activeCell="K18" sqref="K18"/>
    </sheetView>
  </sheetViews>
  <sheetFormatPr defaultColWidth="9.09765625" defaultRowHeight="18" x14ac:dyDescent="0.35"/>
  <cols>
    <col min="1" max="5" width="9.09765625" style="1"/>
    <col min="6" max="6" width="11.59765625" style="2" bestFit="1" customWidth="1"/>
    <col min="7" max="7" width="30.69921875" style="1" bestFit="1" customWidth="1"/>
    <col min="8" max="8" width="12.296875" style="1" bestFit="1" customWidth="1"/>
    <col min="9" max="10" width="9.09765625" style="1"/>
    <col min="11" max="11" width="8.59765625" style="1" customWidth="1"/>
    <col min="12" max="12" width="7.19921875" style="1" customWidth="1"/>
    <col min="13" max="13" width="6.59765625" style="1" customWidth="1"/>
    <col min="14" max="14" width="6.69921875" style="1" customWidth="1"/>
    <col min="15" max="15" width="16.5" style="2" customWidth="1"/>
    <col min="16" max="16384" width="9.09765625" style="1"/>
  </cols>
  <sheetData>
    <row r="1" spans="6:15" ht="18.600000000000001" thickBot="1" x14ac:dyDescent="0.4"/>
    <row r="2" spans="6:15" x14ac:dyDescent="0.35">
      <c r="F2" s="6" t="s">
        <v>13</v>
      </c>
      <c r="G2" s="34" t="s">
        <v>18</v>
      </c>
      <c r="H2" s="35"/>
      <c r="I2" s="7"/>
      <c r="J2" s="42"/>
      <c r="K2" s="34"/>
      <c r="L2" s="34"/>
      <c r="M2" s="34"/>
      <c r="N2" s="34"/>
      <c r="O2" s="35"/>
    </row>
    <row r="3" spans="6:15" ht="18.75" customHeight="1" x14ac:dyDescent="0.35">
      <c r="F3" s="3" t="s">
        <v>17</v>
      </c>
      <c r="G3" s="36" t="s">
        <v>19</v>
      </c>
      <c r="H3" s="37"/>
      <c r="I3" s="7"/>
      <c r="J3" s="40"/>
      <c r="K3" s="36"/>
      <c r="L3" s="36"/>
      <c r="M3" s="36"/>
      <c r="N3" s="36"/>
      <c r="O3" s="37"/>
    </row>
    <row r="4" spans="6:15" ht="18.75" customHeight="1" x14ac:dyDescent="0.35">
      <c r="F4" s="3" t="s">
        <v>15</v>
      </c>
      <c r="G4" s="36" t="s">
        <v>22</v>
      </c>
      <c r="H4" s="37"/>
      <c r="I4" s="7"/>
      <c r="J4" s="40"/>
      <c r="K4" s="36"/>
      <c r="L4" s="36"/>
      <c r="M4" s="36"/>
      <c r="N4" s="36"/>
      <c r="O4" s="37"/>
    </row>
    <row r="5" spans="6:15" x14ac:dyDescent="0.35">
      <c r="F5" s="3" t="s">
        <v>16</v>
      </c>
      <c r="G5" s="36" t="s">
        <v>20</v>
      </c>
      <c r="H5" s="37"/>
      <c r="I5" s="7"/>
      <c r="J5" s="40"/>
      <c r="K5" s="36"/>
      <c r="L5" s="36"/>
      <c r="M5" s="36"/>
      <c r="N5" s="36"/>
      <c r="O5" s="37"/>
    </row>
    <row r="6" spans="6:15" ht="18.600000000000001" thickBot="1" x14ac:dyDescent="0.4">
      <c r="F6" s="4" t="s">
        <v>14</v>
      </c>
      <c r="G6" s="38" t="s">
        <v>21</v>
      </c>
      <c r="H6" s="39"/>
      <c r="I6" s="7"/>
      <c r="J6" s="41"/>
      <c r="K6" s="38"/>
      <c r="L6" s="38"/>
      <c r="M6" s="38"/>
      <c r="N6" s="38"/>
      <c r="O6" s="39"/>
    </row>
    <row r="7" spans="6:15" ht="18.600000000000001" thickBot="1" x14ac:dyDescent="0.4"/>
    <row r="8" spans="6:15" x14ac:dyDescent="0.35">
      <c r="F8" s="23" t="s">
        <v>33</v>
      </c>
      <c r="G8" s="24"/>
      <c r="H8" s="24"/>
      <c r="I8" s="24"/>
      <c r="J8" s="24"/>
      <c r="K8" s="24"/>
      <c r="L8" s="24"/>
      <c r="M8" s="24"/>
      <c r="N8" s="24"/>
      <c r="O8" s="25"/>
    </row>
    <row r="9" spans="6:15" x14ac:dyDescent="0.35">
      <c r="F9" s="26"/>
      <c r="G9" s="27"/>
      <c r="H9" s="27"/>
      <c r="I9" s="27"/>
      <c r="J9" s="27"/>
      <c r="K9" s="27"/>
      <c r="L9" s="27"/>
      <c r="M9" s="27"/>
      <c r="N9" s="27"/>
      <c r="O9" s="28"/>
    </row>
    <row r="10" spans="6:15" x14ac:dyDescent="0.35">
      <c r="F10" s="22" t="s">
        <v>0</v>
      </c>
      <c r="G10" s="31" t="s">
        <v>1</v>
      </c>
      <c r="H10" s="30" t="s">
        <v>10</v>
      </c>
      <c r="I10" s="30" t="s">
        <v>2</v>
      </c>
      <c r="J10" s="30"/>
      <c r="K10" s="30"/>
      <c r="L10" s="30"/>
      <c r="M10" s="30"/>
      <c r="N10" s="30"/>
      <c r="O10" s="29" t="s">
        <v>12</v>
      </c>
    </row>
    <row r="11" spans="6:15" x14ac:dyDescent="0.35">
      <c r="F11" s="22"/>
      <c r="G11" s="32"/>
      <c r="H11" s="30"/>
      <c r="I11" s="30" t="s">
        <v>3</v>
      </c>
      <c r="J11" s="30" t="s">
        <v>4</v>
      </c>
      <c r="K11" s="30" t="s">
        <v>5</v>
      </c>
      <c r="L11" s="30" t="s">
        <v>6</v>
      </c>
      <c r="M11" s="30"/>
      <c r="N11" s="30"/>
      <c r="O11" s="29"/>
    </row>
    <row r="12" spans="6:15" x14ac:dyDescent="0.35">
      <c r="F12" s="22"/>
      <c r="G12" s="33"/>
      <c r="H12" s="30"/>
      <c r="I12" s="30"/>
      <c r="J12" s="30"/>
      <c r="K12" s="30"/>
      <c r="L12" s="15" t="s">
        <v>7</v>
      </c>
      <c r="M12" s="15" t="s">
        <v>8</v>
      </c>
      <c r="N12" s="15" t="s">
        <v>9</v>
      </c>
      <c r="O12" s="29"/>
    </row>
    <row r="13" spans="6:15" x14ac:dyDescent="0.35">
      <c r="F13" s="16">
        <v>1</v>
      </c>
      <c r="G13" s="10" t="s">
        <v>23</v>
      </c>
      <c r="H13" s="10">
        <v>1</v>
      </c>
      <c r="I13" s="10">
        <v>8.5</v>
      </c>
      <c r="J13" s="10">
        <v>7.5</v>
      </c>
      <c r="K13" s="18">
        <v>6.5</v>
      </c>
      <c r="L13" s="10">
        <f>IF(K13 &gt;= 4, ROUND(I13*0.1+J13*0.3+K13*0.6,1), K13)</f>
        <v>7</v>
      </c>
      <c r="M13" s="10">
        <f>IF(L13 &gt;= 8.5, 4, IF(L13 &gt;= 8, 3.5, IF(L13 &gt;= 7, 3, IF(L13 &gt;= 6.5, 2.5, IF(L13 &gt;= 5.5, 2, IF(L13 &gt;= 5, 1.5, IF(L13 &gt;= 4, 1, IF(L13 &gt;= 0, 0, "Invalid"))))))))</f>
        <v>3</v>
      </c>
      <c r="N13" s="10" t="str">
        <f>IF(L13 &gt;= 9, "A+", IF(L13 &gt;= 8.5, "A", IF(L13 &gt;= 8, "B+", IF(L13 &gt;= 7, "B", IF(L13 &gt;= 6.5, "C+", IF(L13 &gt;= 5.5, "C", IF(L13 &gt;= 5, "D+", IF(L13 &gt;= 4, "D", IF(L13 &gt;= 0, "F", "Invalid")))))))))</f>
        <v>B</v>
      </c>
      <c r="O13" s="19" t="str">
        <f>IF(L13 &gt;= 9, "Xuất sắc", IF(L13 &gt;= 8, "Giỏi", IF(L13 &gt;= 7, "Khá", IF(L13 &gt;= 6.5, "Trung bình khá", IF(L13 &gt;= 5.5, "Trung bình", IF(L13 &gt;= 5, "Trung bình yếu", IF(L13 &gt;= 4, "Yếu", "Kém")))))))</f>
        <v>Khá</v>
      </c>
    </row>
    <row r="14" spans="6:15" x14ac:dyDescent="0.35">
      <c r="F14" s="16">
        <v>2</v>
      </c>
      <c r="G14" s="10" t="s">
        <v>24</v>
      </c>
      <c r="H14" s="10">
        <v>2</v>
      </c>
      <c r="I14" s="10">
        <v>10</v>
      </c>
      <c r="J14" s="10">
        <v>8.5</v>
      </c>
      <c r="K14" s="18">
        <v>8.5</v>
      </c>
      <c r="L14" s="10">
        <f t="shared" ref="L14:L27" si="0">IF(K14 &gt;= 4, ROUND(I14*0.1+J14*0.3+K14*0.6,1), K14)</f>
        <v>8.6999999999999993</v>
      </c>
      <c r="M14" s="10">
        <f t="shared" ref="M14:M27" si="1">IF(L14 &gt;= 8.5, 4, IF(L14 &gt;= 8, 3.5, IF(L14 &gt;= 7, 3, IF(L14 &gt;= 6.5, 2.5, IF(L14 &gt;= 5.5, 2, IF(L14 &gt;= 5, 1.5, IF(L14 &gt;= 4, 1, IF(L14 &gt;= 0, 0, "Invalid"))))))))</f>
        <v>4</v>
      </c>
      <c r="N14" s="10" t="str">
        <f t="shared" ref="N14:N27" si="2">IF(L14 &gt;= 9, "A+", IF(L14 &gt;= 8.5, "A", IF(L14 &gt;= 8, "B+", IF(L14 &gt;= 7, "B", IF(L14 &gt;= 6.5, "C+", IF(L14 &gt;= 5.5, "C", IF(L14 &gt;= 5, "D+", IF(L14 &gt;= 4, "D", IF(L14 &gt;= 0, "F", "Invalid")))))))))</f>
        <v>A</v>
      </c>
      <c r="O14" s="19" t="str">
        <f t="shared" ref="O14:O29" si="3">IF(L14 &gt;= 9, "Xuất sắc", IF(L14 &gt;= 8, "Giỏi", IF(L14 &gt;= 7, "Khá", IF(L14 &gt;= 6.5, "Trung bình khá", IF(L14 &gt;= 5.5, "Trung bình", IF(L14 &gt;= 5, "Trung bình yếu", IF(L14 &gt;= 4, "Yếu", "Kém")))))))</f>
        <v>Giỏi</v>
      </c>
    </row>
    <row r="15" spans="6:15" x14ac:dyDescent="0.35">
      <c r="F15" s="16">
        <v>3</v>
      </c>
      <c r="G15" s="10" t="s">
        <v>25</v>
      </c>
      <c r="H15" s="10">
        <v>2</v>
      </c>
      <c r="I15" s="11">
        <v>9</v>
      </c>
      <c r="J15" s="11">
        <v>8</v>
      </c>
      <c r="K15" s="18">
        <v>8.5</v>
      </c>
      <c r="L15" s="10">
        <f t="shared" si="0"/>
        <v>8.4</v>
      </c>
      <c r="M15" s="10">
        <f t="shared" si="1"/>
        <v>3.5</v>
      </c>
      <c r="N15" s="10" t="str">
        <f t="shared" si="2"/>
        <v>B+</v>
      </c>
      <c r="O15" s="19" t="str">
        <f t="shared" si="3"/>
        <v>Giỏi</v>
      </c>
    </row>
    <row r="16" spans="6:15" x14ac:dyDescent="0.35">
      <c r="F16" s="16">
        <v>4</v>
      </c>
      <c r="G16" s="10" t="s">
        <v>26</v>
      </c>
      <c r="H16" s="10">
        <v>2</v>
      </c>
      <c r="I16" s="10">
        <v>7.5</v>
      </c>
      <c r="J16" s="10">
        <v>5.5</v>
      </c>
      <c r="K16" s="18">
        <v>7.5</v>
      </c>
      <c r="L16" s="10">
        <f t="shared" si="0"/>
        <v>6.9</v>
      </c>
      <c r="M16" s="10">
        <f t="shared" si="1"/>
        <v>2.5</v>
      </c>
      <c r="N16" s="10" t="str">
        <f t="shared" si="2"/>
        <v>C+</v>
      </c>
      <c r="O16" s="19" t="str">
        <f t="shared" si="3"/>
        <v>Trung bình khá</v>
      </c>
    </row>
    <row r="17" spans="6:15" x14ac:dyDescent="0.35">
      <c r="F17" s="16">
        <v>5</v>
      </c>
      <c r="G17" s="10" t="s">
        <v>27</v>
      </c>
      <c r="H17" s="10">
        <v>2</v>
      </c>
      <c r="I17" s="11">
        <v>8</v>
      </c>
      <c r="J17" s="11">
        <v>7.5</v>
      </c>
      <c r="K17" s="18">
        <v>6.2</v>
      </c>
      <c r="L17" s="10">
        <f t="shared" si="0"/>
        <v>6.8</v>
      </c>
      <c r="M17" s="10">
        <f t="shared" si="1"/>
        <v>2.5</v>
      </c>
      <c r="N17" s="10" t="str">
        <f t="shared" si="2"/>
        <v>C+</v>
      </c>
      <c r="O17" s="19" t="str">
        <f t="shared" si="3"/>
        <v>Trung bình khá</v>
      </c>
    </row>
    <row r="18" spans="6:15" x14ac:dyDescent="0.35">
      <c r="F18" s="16">
        <v>6</v>
      </c>
      <c r="G18" s="10" t="s">
        <v>28</v>
      </c>
      <c r="H18" s="10">
        <v>3</v>
      </c>
      <c r="I18" s="10">
        <v>8</v>
      </c>
      <c r="J18" s="10">
        <v>7.5</v>
      </c>
      <c r="K18" s="18">
        <v>5</v>
      </c>
      <c r="L18" s="10">
        <f t="shared" si="0"/>
        <v>6.1</v>
      </c>
      <c r="M18" s="10">
        <f t="shared" si="1"/>
        <v>2</v>
      </c>
      <c r="N18" s="10" t="str">
        <f t="shared" si="2"/>
        <v>C</v>
      </c>
      <c r="O18" s="19" t="str">
        <f t="shared" si="3"/>
        <v>Trung bình</v>
      </c>
    </row>
    <row r="19" spans="6:15" x14ac:dyDescent="0.35">
      <c r="F19" s="16">
        <v>7</v>
      </c>
      <c r="G19" s="10" t="s">
        <v>29</v>
      </c>
      <c r="H19" s="10">
        <v>3</v>
      </c>
      <c r="I19" s="11">
        <v>10</v>
      </c>
      <c r="J19" s="11">
        <v>9</v>
      </c>
      <c r="K19" s="18">
        <v>6.5</v>
      </c>
      <c r="L19" s="10">
        <f t="shared" si="0"/>
        <v>7.6</v>
      </c>
      <c r="M19" s="10">
        <f t="shared" si="1"/>
        <v>3</v>
      </c>
      <c r="N19" s="10" t="str">
        <f t="shared" si="2"/>
        <v>B</v>
      </c>
      <c r="O19" s="19" t="str">
        <f t="shared" si="3"/>
        <v>Khá</v>
      </c>
    </row>
    <row r="20" spans="6:15" x14ac:dyDescent="0.35">
      <c r="F20" s="16">
        <v>8</v>
      </c>
      <c r="G20" s="10" t="s">
        <v>30</v>
      </c>
      <c r="H20" s="10">
        <v>3</v>
      </c>
      <c r="I20" s="11">
        <v>8</v>
      </c>
      <c r="J20" s="11">
        <v>8.5</v>
      </c>
      <c r="K20" s="18">
        <v>6.5</v>
      </c>
      <c r="L20" s="10">
        <f t="shared" si="0"/>
        <v>7.3</v>
      </c>
      <c r="M20" s="10">
        <f t="shared" si="1"/>
        <v>3</v>
      </c>
      <c r="N20" s="10" t="str">
        <f t="shared" si="2"/>
        <v>B</v>
      </c>
      <c r="O20" s="19" t="str">
        <f t="shared" si="3"/>
        <v>Khá</v>
      </c>
    </row>
    <row r="21" spans="6:15" x14ac:dyDescent="0.35">
      <c r="F21" s="16">
        <v>9</v>
      </c>
      <c r="G21" s="10" t="s">
        <v>32</v>
      </c>
      <c r="H21" s="10">
        <v>3</v>
      </c>
      <c r="I21" s="10">
        <v>8.5</v>
      </c>
      <c r="J21" s="10">
        <v>8.5</v>
      </c>
      <c r="K21" s="18">
        <v>8</v>
      </c>
      <c r="L21" s="10">
        <f t="shared" si="0"/>
        <v>8.1999999999999993</v>
      </c>
      <c r="M21" s="10">
        <f t="shared" si="1"/>
        <v>3.5</v>
      </c>
      <c r="N21" s="10" t="str">
        <f t="shared" si="2"/>
        <v>B+</v>
      </c>
      <c r="O21" s="19" t="str">
        <f t="shared" si="3"/>
        <v>Giỏi</v>
      </c>
    </row>
    <row r="22" spans="6:15" x14ac:dyDescent="0.35">
      <c r="F22" s="16">
        <v>10</v>
      </c>
      <c r="G22" s="10" t="s">
        <v>31</v>
      </c>
      <c r="H22" s="10">
        <v>4</v>
      </c>
      <c r="I22" s="10">
        <v>9</v>
      </c>
      <c r="J22" s="10">
        <v>6.5</v>
      </c>
      <c r="K22" s="10">
        <v>7</v>
      </c>
      <c r="L22" s="10">
        <f t="shared" si="0"/>
        <v>7.1</v>
      </c>
      <c r="M22" s="10">
        <f t="shared" si="1"/>
        <v>3</v>
      </c>
      <c r="N22" s="10" t="str">
        <f t="shared" si="2"/>
        <v>B</v>
      </c>
      <c r="O22" s="19" t="str">
        <f t="shared" si="3"/>
        <v>Khá</v>
      </c>
    </row>
    <row r="23" spans="6:15" x14ac:dyDescent="0.35">
      <c r="F23" s="16">
        <v>11</v>
      </c>
      <c r="G23" s="10"/>
      <c r="H23" s="10"/>
      <c r="I23" s="10"/>
      <c r="J23" s="10"/>
      <c r="K23" s="10"/>
      <c r="L23" s="10">
        <f t="shared" si="0"/>
        <v>0</v>
      </c>
      <c r="M23" s="10">
        <f t="shared" si="1"/>
        <v>0</v>
      </c>
      <c r="N23" s="10" t="str">
        <f t="shared" si="2"/>
        <v>F</v>
      </c>
      <c r="O23" s="19" t="str">
        <f t="shared" si="3"/>
        <v>Kém</v>
      </c>
    </row>
    <row r="24" spans="6:15" x14ac:dyDescent="0.35">
      <c r="F24" s="16">
        <v>12</v>
      </c>
      <c r="G24" s="10"/>
      <c r="H24" s="10"/>
      <c r="I24" s="10"/>
      <c r="J24" s="10"/>
      <c r="K24" s="10"/>
      <c r="L24" s="10">
        <f t="shared" si="0"/>
        <v>0</v>
      </c>
      <c r="M24" s="10">
        <f t="shared" si="1"/>
        <v>0</v>
      </c>
      <c r="N24" s="10" t="str">
        <f t="shared" si="2"/>
        <v>F</v>
      </c>
      <c r="O24" s="19" t="str">
        <f t="shared" si="3"/>
        <v>Kém</v>
      </c>
    </row>
    <row r="25" spans="6:15" x14ac:dyDescent="0.35">
      <c r="F25" s="16">
        <v>13</v>
      </c>
      <c r="G25" s="10"/>
      <c r="H25" s="10"/>
      <c r="I25" s="10"/>
      <c r="J25" s="10"/>
      <c r="K25" s="10"/>
      <c r="L25" s="10">
        <f t="shared" si="0"/>
        <v>0</v>
      </c>
      <c r="M25" s="10">
        <f t="shared" si="1"/>
        <v>0</v>
      </c>
      <c r="N25" s="10" t="str">
        <f t="shared" si="2"/>
        <v>F</v>
      </c>
      <c r="O25" s="19" t="str">
        <f t="shared" si="3"/>
        <v>Kém</v>
      </c>
    </row>
    <row r="26" spans="6:15" x14ac:dyDescent="0.35">
      <c r="F26" s="16">
        <v>14</v>
      </c>
      <c r="G26" s="10"/>
      <c r="H26" s="10"/>
      <c r="I26" s="10"/>
      <c r="J26" s="10"/>
      <c r="K26" s="10"/>
      <c r="L26" s="10">
        <f t="shared" si="0"/>
        <v>0</v>
      </c>
      <c r="M26" s="10">
        <f t="shared" si="1"/>
        <v>0</v>
      </c>
      <c r="N26" s="10" t="str">
        <f t="shared" si="2"/>
        <v>F</v>
      </c>
      <c r="O26" s="19" t="str">
        <f t="shared" si="3"/>
        <v>Kém</v>
      </c>
    </row>
    <row r="27" spans="6:15" ht="18.600000000000001" thickBot="1" x14ac:dyDescent="0.4">
      <c r="F27" s="20">
        <v>15</v>
      </c>
      <c r="G27" s="17"/>
      <c r="H27" s="17"/>
      <c r="I27" s="17"/>
      <c r="J27" s="17"/>
      <c r="K27" s="17"/>
      <c r="L27" s="10">
        <f t="shared" si="0"/>
        <v>0</v>
      </c>
      <c r="M27" s="10">
        <f t="shared" si="1"/>
        <v>0</v>
      </c>
      <c r="N27" s="17" t="str">
        <f t="shared" si="2"/>
        <v>F</v>
      </c>
      <c r="O27" s="21" t="str">
        <f t="shared" si="3"/>
        <v>Kém</v>
      </c>
    </row>
    <row r="28" spans="6:15" ht="18.600000000000001" thickBot="1" x14ac:dyDescent="0.4">
      <c r="M28" s="5"/>
      <c r="N28" s="5"/>
    </row>
    <row r="29" spans="6:15" ht="38.25" customHeight="1" thickBot="1" x14ac:dyDescent="0.4">
      <c r="F29" s="14" t="s">
        <v>11</v>
      </c>
      <c r="G29" s="8">
        <f>COUNTA(G13:G27)</f>
        <v>10</v>
      </c>
      <c r="H29" s="8">
        <f>SUM(H13:H27)</f>
        <v>25</v>
      </c>
      <c r="I29" s="12"/>
      <c r="J29" s="12"/>
      <c r="K29" s="12"/>
      <c r="L29" s="8">
        <f>ROUND(SUMPRODUCT(H13:H27, L13:L27)/H29, 2)</f>
        <v>7.38</v>
      </c>
      <c r="M29" s="13">
        <f>ROUND(SUMPRODUCT(H13:H27, M13:M27)/H29, 2)</f>
        <v>2.98</v>
      </c>
      <c r="N29" s="8" t="str">
        <f>IF(L29 &gt;= 9, "A+", IF(L29 &gt;= 8.5, "A", IF(L29 &gt;= 8, "B+", IF(L29 &gt;= 7, "B", IF(L29 &gt;= 6.5, "C+", IF(L29 &gt;= 5.5, "C", IF(L29 &gt;= 5, "D+", IF(L29 &gt;= 4, "D", IF(L29 &gt;= 0, "F", "Invalid")))))))))</f>
        <v>B</v>
      </c>
      <c r="O29" s="9" t="str">
        <f t="shared" si="3"/>
        <v>Khá</v>
      </c>
    </row>
    <row r="30" spans="6:15" x14ac:dyDescent="0.35">
      <c r="N30" s="5"/>
    </row>
  </sheetData>
  <mergeCells count="25">
    <mergeCell ref="J5:K5"/>
    <mergeCell ref="J6:K6"/>
    <mergeCell ref="L2:O2"/>
    <mergeCell ref="L3:O3"/>
    <mergeCell ref="L4:O4"/>
    <mergeCell ref="L5:O5"/>
    <mergeCell ref="L6:O6"/>
    <mergeCell ref="J2:K2"/>
    <mergeCell ref="J3:K3"/>
    <mergeCell ref="J4:K4"/>
    <mergeCell ref="G2:H2"/>
    <mergeCell ref="G3:H3"/>
    <mergeCell ref="G4:H4"/>
    <mergeCell ref="G5:H5"/>
    <mergeCell ref="G6:H6"/>
    <mergeCell ref="F10:F12"/>
    <mergeCell ref="F8:O9"/>
    <mergeCell ref="O10:O12"/>
    <mergeCell ref="H10:H12"/>
    <mergeCell ref="G10:G12"/>
    <mergeCell ref="L11:N11"/>
    <mergeCell ref="I10:N10"/>
    <mergeCell ref="I11:I12"/>
    <mergeCell ref="J11:J12"/>
    <mergeCell ref="K11:K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E3C8-6351-47F3-ACEE-8E8A0ECDE1BD}">
  <dimension ref="F1:O23"/>
  <sheetViews>
    <sheetView tabSelected="1" zoomScale="84" zoomScaleNormal="84" workbookViewId="0">
      <selection activeCell="U23" sqref="U23"/>
    </sheetView>
  </sheetViews>
  <sheetFormatPr defaultRowHeight="13.8" x14ac:dyDescent="0.25"/>
  <cols>
    <col min="7" max="7" width="32.09765625" customWidth="1"/>
    <col min="8" max="8" width="11.3984375" customWidth="1"/>
    <col min="12" max="12" width="8" customWidth="1"/>
    <col min="15" max="15" width="17.296875" customWidth="1"/>
  </cols>
  <sheetData>
    <row r="1" spans="6:15" ht="14.4" thickBot="1" x14ac:dyDescent="0.3"/>
    <row r="2" spans="6:15" x14ac:dyDescent="0.25">
      <c r="F2" s="23" t="s">
        <v>33</v>
      </c>
      <c r="G2" s="24"/>
      <c r="H2" s="24"/>
      <c r="I2" s="24"/>
      <c r="J2" s="24"/>
      <c r="K2" s="24"/>
      <c r="L2" s="24"/>
      <c r="M2" s="24"/>
      <c r="N2" s="24"/>
      <c r="O2" s="25"/>
    </row>
    <row r="3" spans="6:15" x14ac:dyDescent="0.25">
      <c r="F3" s="26"/>
      <c r="G3" s="27"/>
      <c r="H3" s="27"/>
      <c r="I3" s="27"/>
      <c r="J3" s="27"/>
      <c r="K3" s="27"/>
      <c r="L3" s="27"/>
      <c r="M3" s="27"/>
      <c r="N3" s="27"/>
      <c r="O3" s="28"/>
    </row>
    <row r="4" spans="6:15" ht="17.399999999999999" x14ac:dyDescent="0.25">
      <c r="F4" s="22" t="s">
        <v>0</v>
      </c>
      <c r="G4" s="31" t="s">
        <v>1</v>
      </c>
      <c r="H4" s="30" t="s">
        <v>10</v>
      </c>
      <c r="I4" s="30" t="s">
        <v>2</v>
      </c>
      <c r="J4" s="30"/>
      <c r="K4" s="30"/>
      <c r="L4" s="30"/>
      <c r="M4" s="30"/>
      <c r="N4" s="30"/>
      <c r="O4" s="29" t="s">
        <v>12</v>
      </c>
    </row>
    <row r="5" spans="6:15" ht="17.399999999999999" x14ac:dyDescent="0.25">
      <c r="F5" s="22"/>
      <c r="G5" s="32"/>
      <c r="H5" s="30"/>
      <c r="I5" s="30" t="s">
        <v>3</v>
      </c>
      <c r="J5" s="30" t="s">
        <v>4</v>
      </c>
      <c r="K5" s="30" t="s">
        <v>5</v>
      </c>
      <c r="L5" s="30" t="s">
        <v>6</v>
      </c>
      <c r="M5" s="30"/>
      <c r="N5" s="30"/>
      <c r="O5" s="29"/>
    </row>
    <row r="6" spans="6:15" ht="17.399999999999999" x14ac:dyDescent="0.25">
      <c r="F6" s="22"/>
      <c r="G6" s="33"/>
      <c r="H6" s="30"/>
      <c r="I6" s="30"/>
      <c r="J6" s="30"/>
      <c r="K6" s="30"/>
      <c r="L6" s="15" t="s">
        <v>7</v>
      </c>
      <c r="M6" s="15" t="s">
        <v>8</v>
      </c>
      <c r="N6" s="15" t="s">
        <v>9</v>
      </c>
      <c r="O6" s="29"/>
    </row>
    <row r="7" spans="6:15" ht="18" x14ac:dyDescent="0.25">
      <c r="F7" s="16">
        <v>1</v>
      </c>
      <c r="G7" s="10" t="s">
        <v>34</v>
      </c>
      <c r="H7" s="10">
        <v>3</v>
      </c>
      <c r="I7" s="10">
        <v>10</v>
      </c>
      <c r="J7" s="10">
        <v>8.5</v>
      </c>
      <c r="K7" s="18">
        <v>8.5</v>
      </c>
      <c r="L7" s="10">
        <f>IF(K7 &gt;= 4, ROUND(I7*0.1+J7*0.3+K7*0.6,1), K7)</f>
        <v>8.6999999999999993</v>
      </c>
      <c r="M7" s="10">
        <f>IF(L7 &gt;= 8.5, 4, IF(L7 &gt;= 8, 3.5, IF(L7 &gt;= 7, 3, IF(L7 &gt;= 6.5, 2.5, IF(L7 &gt;= 5.5, 2, IF(L7 &gt;= 5, 1.5, IF(L7 &gt;= 4, 1, IF(L7 &gt;= 0, 0, "Invalid"))))))))</f>
        <v>4</v>
      </c>
      <c r="N7" s="10" t="str">
        <f>IF(L7 &gt;= 9, "A+", IF(L7 &gt;= 8.5, "A", IF(L7 &gt;= 8, "B+", IF(L7 &gt;= 7, "B", IF(L7 &gt;= 6.5, "C+", IF(L7 &gt;= 5.5, "C", IF(L7 &gt;= 5, "D+", IF(L7 &gt;= 4, "D", IF(L7 &gt;= 0, "F", "Invalid")))))))))</f>
        <v>A</v>
      </c>
      <c r="O7" s="19" t="str">
        <f>IF(L7 &gt;= 9, "Xuất sắc", IF(L7 &gt;= 8, "Giỏi", IF(L7 &gt;= 7, "Khá", IF(L7 &gt;= 6.5, "Trung bình khá", IF(L7 &gt;= 5.5, "Trung bình", IF(L7 &gt;= 5, "Trung bình yếu", IF(L7 &gt;= 4, "Yếu", "Kém")))))))</f>
        <v>Giỏi</v>
      </c>
    </row>
    <row r="8" spans="6:15" ht="18" x14ac:dyDescent="0.25">
      <c r="F8" s="16">
        <v>2</v>
      </c>
      <c r="G8" s="10" t="s">
        <v>35</v>
      </c>
      <c r="H8" s="10">
        <v>1</v>
      </c>
      <c r="I8" s="10">
        <v>9</v>
      </c>
      <c r="J8" s="10">
        <v>7.5</v>
      </c>
      <c r="K8" s="18">
        <v>5</v>
      </c>
      <c r="L8" s="10">
        <f t="shared" ref="L8:L21" si="0">IF(K8 &gt;= 4, ROUND(I8*0.1+J8*0.3+K8*0.6,1), K8)</f>
        <v>6.2</v>
      </c>
      <c r="M8" s="10">
        <f t="shared" ref="M8:M21" si="1">IF(L8 &gt;= 8.5, 4, IF(L8 &gt;= 8, 3.5, IF(L8 &gt;= 7, 3, IF(L8 &gt;= 6.5, 2.5, IF(L8 &gt;= 5.5, 2, IF(L8 &gt;= 5, 1.5, IF(L8 &gt;= 4, 1, IF(L8 &gt;= 0, 0, "Invalid"))))))))</f>
        <v>2</v>
      </c>
      <c r="N8" s="10" t="str">
        <f t="shared" ref="N8:N21" si="2">IF(L8 &gt;= 9, "A+", IF(L8 &gt;= 8.5, "A", IF(L8 &gt;= 8, "B+", IF(L8 &gt;= 7, "B", IF(L8 &gt;= 6.5, "C+", IF(L8 &gt;= 5.5, "C", IF(L8 &gt;= 5, "D+", IF(L8 &gt;= 4, "D", IF(L8 &gt;= 0, "F", "Invalid")))))))))</f>
        <v>C</v>
      </c>
      <c r="O8" s="19" t="str">
        <f t="shared" ref="O8:O23" si="3">IF(L8 &gt;= 9, "Xuất sắc", IF(L8 &gt;= 8, "Giỏi", IF(L8 &gt;= 7, "Khá", IF(L8 &gt;= 6.5, "Trung bình khá", IF(L8 &gt;= 5.5, "Trung bình", IF(L8 &gt;= 5, "Trung bình yếu", IF(L8 &gt;= 4, "Yếu", "Kém")))))))</f>
        <v>Trung bình</v>
      </c>
    </row>
    <row r="9" spans="6:15" ht="18" x14ac:dyDescent="0.25">
      <c r="F9" s="16">
        <v>3</v>
      </c>
      <c r="G9" s="10" t="s">
        <v>36</v>
      </c>
      <c r="H9" s="10">
        <v>3</v>
      </c>
      <c r="I9" s="11">
        <v>10</v>
      </c>
      <c r="J9" s="11">
        <v>10</v>
      </c>
      <c r="K9" s="18">
        <v>10</v>
      </c>
      <c r="L9" s="10">
        <f t="shared" si="0"/>
        <v>10</v>
      </c>
      <c r="M9" s="10">
        <f t="shared" si="1"/>
        <v>4</v>
      </c>
      <c r="N9" s="10" t="str">
        <f t="shared" si="2"/>
        <v>A+</v>
      </c>
      <c r="O9" s="19" t="str">
        <f t="shared" si="3"/>
        <v>Xuất sắc</v>
      </c>
    </row>
    <row r="10" spans="6:15" ht="18" x14ac:dyDescent="0.25">
      <c r="F10" s="16">
        <v>4</v>
      </c>
      <c r="G10" s="10" t="s">
        <v>37</v>
      </c>
      <c r="H10" s="10">
        <v>2</v>
      </c>
      <c r="I10" s="10">
        <v>9</v>
      </c>
      <c r="J10" s="10">
        <v>6</v>
      </c>
      <c r="K10" s="18"/>
      <c r="L10" s="10">
        <f t="shared" si="0"/>
        <v>0</v>
      </c>
      <c r="M10" s="10">
        <f t="shared" si="1"/>
        <v>0</v>
      </c>
      <c r="N10" s="10" t="str">
        <f t="shared" si="2"/>
        <v>F</v>
      </c>
      <c r="O10" s="19" t="str">
        <f t="shared" si="3"/>
        <v>Kém</v>
      </c>
    </row>
    <row r="11" spans="6:15" ht="18" x14ac:dyDescent="0.25">
      <c r="F11" s="16">
        <v>5</v>
      </c>
      <c r="G11" s="10" t="s">
        <v>38</v>
      </c>
      <c r="H11" s="10">
        <v>3</v>
      </c>
      <c r="I11" s="11">
        <v>10</v>
      </c>
      <c r="J11" s="11">
        <v>8</v>
      </c>
      <c r="K11" s="18">
        <v>7.5</v>
      </c>
      <c r="L11" s="10">
        <f t="shared" si="0"/>
        <v>7.9</v>
      </c>
      <c r="M11" s="10">
        <f t="shared" si="1"/>
        <v>3</v>
      </c>
      <c r="N11" s="10" t="str">
        <f t="shared" si="2"/>
        <v>B</v>
      </c>
      <c r="O11" s="19" t="str">
        <f t="shared" si="3"/>
        <v>Khá</v>
      </c>
    </row>
    <row r="12" spans="6:15" ht="18" x14ac:dyDescent="0.25">
      <c r="F12" s="16">
        <v>6</v>
      </c>
      <c r="G12" s="10" t="s">
        <v>39</v>
      </c>
      <c r="H12" s="10">
        <v>3</v>
      </c>
      <c r="I12" s="10">
        <v>10</v>
      </c>
      <c r="J12" s="10">
        <v>8</v>
      </c>
      <c r="K12" s="18"/>
      <c r="L12" s="10">
        <f t="shared" si="0"/>
        <v>0</v>
      </c>
      <c r="M12" s="10">
        <f t="shared" si="1"/>
        <v>0</v>
      </c>
      <c r="N12" s="10" t="str">
        <f t="shared" si="2"/>
        <v>F</v>
      </c>
      <c r="O12" s="19" t="str">
        <f t="shared" si="3"/>
        <v>Kém</v>
      </c>
    </row>
    <row r="13" spans="6:15" ht="18" x14ac:dyDescent="0.25">
      <c r="F13" s="16">
        <v>7</v>
      </c>
      <c r="G13" s="10" t="s">
        <v>40</v>
      </c>
      <c r="H13" s="10">
        <v>2</v>
      </c>
      <c r="I13" s="11">
        <v>10</v>
      </c>
      <c r="J13" s="11">
        <v>7</v>
      </c>
      <c r="K13" s="18">
        <v>7.5</v>
      </c>
      <c r="L13" s="10">
        <f t="shared" si="0"/>
        <v>7.6</v>
      </c>
      <c r="M13" s="10">
        <f t="shared" si="1"/>
        <v>3</v>
      </c>
      <c r="N13" s="10" t="str">
        <f t="shared" si="2"/>
        <v>B</v>
      </c>
      <c r="O13" s="19" t="str">
        <f t="shared" si="3"/>
        <v>Khá</v>
      </c>
    </row>
    <row r="14" spans="6:15" ht="18" x14ac:dyDescent="0.25">
      <c r="F14" s="16">
        <v>8</v>
      </c>
      <c r="G14" s="10" t="s">
        <v>41</v>
      </c>
      <c r="H14" s="10">
        <v>2</v>
      </c>
      <c r="I14" s="11">
        <v>8</v>
      </c>
      <c r="J14" s="11">
        <v>7</v>
      </c>
      <c r="K14" s="18">
        <v>7</v>
      </c>
      <c r="L14" s="10">
        <f t="shared" si="0"/>
        <v>7.1</v>
      </c>
      <c r="M14" s="10">
        <f t="shared" si="1"/>
        <v>3</v>
      </c>
      <c r="N14" s="10" t="str">
        <f t="shared" si="2"/>
        <v>B</v>
      </c>
      <c r="O14" s="19" t="str">
        <f t="shared" si="3"/>
        <v>Khá</v>
      </c>
    </row>
    <row r="15" spans="6:15" ht="18" x14ac:dyDescent="0.25">
      <c r="F15" s="16">
        <v>9</v>
      </c>
      <c r="G15" s="10" t="s">
        <v>42</v>
      </c>
      <c r="H15" s="10">
        <v>3</v>
      </c>
      <c r="I15" s="10"/>
      <c r="J15" s="10"/>
      <c r="K15" s="18"/>
      <c r="L15" s="10">
        <f t="shared" si="0"/>
        <v>0</v>
      </c>
      <c r="M15" s="10">
        <f t="shared" si="1"/>
        <v>0</v>
      </c>
      <c r="N15" s="10" t="str">
        <f t="shared" si="2"/>
        <v>F</v>
      </c>
      <c r="O15" s="19" t="str">
        <f t="shared" si="3"/>
        <v>Kém</v>
      </c>
    </row>
    <row r="16" spans="6:15" ht="18" x14ac:dyDescent="0.25">
      <c r="F16" s="16">
        <v>10</v>
      </c>
      <c r="G16" s="10"/>
      <c r="H16" s="10"/>
      <c r="I16" s="10"/>
      <c r="J16" s="10"/>
      <c r="K16" s="10"/>
      <c r="L16" s="10">
        <f t="shared" si="0"/>
        <v>0</v>
      </c>
      <c r="M16" s="10">
        <f t="shared" si="1"/>
        <v>0</v>
      </c>
      <c r="N16" s="10" t="str">
        <f t="shared" si="2"/>
        <v>F</v>
      </c>
      <c r="O16" s="19" t="str">
        <f t="shared" si="3"/>
        <v>Kém</v>
      </c>
    </row>
    <row r="17" spans="6:15" ht="18" x14ac:dyDescent="0.25">
      <c r="F17" s="16">
        <v>11</v>
      </c>
      <c r="G17" s="10"/>
      <c r="H17" s="10"/>
      <c r="I17" s="10"/>
      <c r="J17" s="10"/>
      <c r="K17" s="10"/>
      <c r="L17" s="10">
        <f t="shared" si="0"/>
        <v>0</v>
      </c>
      <c r="M17" s="10">
        <f t="shared" si="1"/>
        <v>0</v>
      </c>
      <c r="N17" s="10" t="str">
        <f t="shared" si="2"/>
        <v>F</v>
      </c>
      <c r="O17" s="19" t="str">
        <f t="shared" si="3"/>
        <v>Kém</v>
      </c>
    </row>
    <row r="18" spans="6:15" ht="18" x14ac:dyDescent="0.25">
      <c r="F18" s="16">
        <v>12</v>
      </c>
      <c r="G18" s="10"/>
      <c r="H18" s="10"/>
      <c r="I18" s="10"/>
      <c r="J18" s="10"/>
      <c r="K18" s="10"/>
      <c r="L18" s="10">
        <f t="shared" si="0"/>
        <v>0</v>
      </c>
      <c r="M18" s="10">
        <f t="shared" si="1"/>
        <v>0</v>
      </c>
      <c r="N18" s="10" t="str">
        <f t="shared" si="2"/>
        <v>F</v>
      </c>
      <c r="O18" s="19" t="str">
        <f t="shared" si="3"/>
        <v>Kém</v>
      </c>
    </row>
    <row r="19" spans="6:15" ht="18" x14ac:dyDescent="0.25">
      <c r="F19" s="16">
        <v>13</v>
      </c>
      <c r="G19" s="10"/>
      <c r="H19" s="10"/>
      <c r="I19" s="10"/>
      <c r="J19" s="10"/>
      <c r="K19" s="10"/>
      <c r="L19" s="10">
        <f t="shared" si="0"/>
        <v>0</v>
      </c>
      <c r="M19" s="10">
        <f t="shared" si="1"/>
        <v>0</v>
      </c>
      <c r="N19" s="10" t="str">
        <f t="shared" si="2"/>
        <v>F</v>
      </c>
      <c r="O19" s="19" t="str">
        <f t="shared" si="3"/>
        <v>Kém</v>
      </c>
    </row>
    <row r="20" spans="6:15" ht="18" x14ac:dyDescent="0.25">
      <c r="F20" s="16">
        <v>14</v>
      </c>
      <c r="G20" s="10"/>
      <c r="H20" s="10"/>
      <c r="I20" s="10"/>
      <c r="J20" s="10"/>
      <c r="K20" s="10"/>
      <c r="L20" s="10">
        <f t="shared" si="0"/>
        <v>0</v>
      </c>
      <c r="M20" s="10">
        <f t="shared" si="1"/>
        <v>0</v>
      </c>
      <c r="N20" s="10" t="str">
        <f t="shared" si="2"/>
        <v>F</v>
      </c>
      <c r="O20" s="19" t="str">
        <f t="shared" si="3"/>
        <v>Kém</v>
      </c>
    </row>
    <row r="21" spans="6:15" ht="18.600000000000001" thickBot="1" x14ac:dyDescent="0.3">
      <c r="F21" s="20">
        <v>15</v>
      </c>
      <c r="G21" s="17"/>
      <c r="H21" s="17"/>
      <c r="I21" s="17"/>
      <c r="J21" s="17"/>
      <c r="K21" s="17"/>
      <c r="L21" s="10">
        <f t="shared" si="0"/>
        <v>0</v>
      </c>
      <c r="M21" s="10">
        <f t="shared" si="1"/>
        <v>0</v>
      </c>
      <c r="N21" s="17" t="str">
        <f t="shared" si="2"/>
        <v>F</v>
      </c>
      <c r="O21" s="21" t="str">
        <f t="shared" si="3"/>
        <v>Kém</v>
      </c>
    </row>
    <row r="22" spans="6:15" ht="18.600000000000001" thickBot="1" x14ac:dyDescent="0.4">
      <c r="F22" s="2"/>
      <c r="G22" s="1"/>
      <c r="H22" s="1"/>
      <c r="I22" s="1"/>
      <c r="J22" s="1"/>
      <c r="K22" s="1"/>
      <c r="L22" s="1"/>
      <c r="M22" s="5"/>
      <c r="N22" s="5"/>
      <c r="O22" s="2"/>
    </row>
    <row r="23" spans="6:15" ht="36" customHeight="1" thickBot="1" x14ac:dyDescent="0.4">
      <c r="F23" s="14" t="s">
        <v>11</v>
      </c>
      <c r="G23" s="8">
        <f>COUNTA(G7:G21)</f>
        <v>9</v>
      </c>
      <c r="H23" s="8">
        <f>SUM(H7:H21)</f>
        <v>22</v>
      </c>
      <c r="I23" s="12"/>
      <c r="J23" s="12"/>
      <c r="K23" s="12"/>
      <c r="L23" s="8">
        <f>ROUND(SUMPRODUCT(H7:H21, L7:L21)/H23, 2)</f>
        <v>5.25</v>
      </c>
      <c r="M23" s="13">
        <f>ROUND(SUMPRODUCT(H7:H21, M7:M21)/H23, 2)</f>
        <v>2.14</v>
      </c>
      <c r="N23" s="8" t="str">
        <f>IF(L23 &gt;= 9, "A+", IF(L23 &gt;= 8.5, "A", IF(L23 &gt;= 8, "B+", IF(L23 &gt;= 7, "B", IF(L23 &gt;= 6.5, "C+", IF(L23 &gt;= 5.5, "C", IF(L23 &gt;= 5, "D+", IF(L23 &gt;= 4, "D", IF(L23 &gt;= 0, "F", "Invalid")))))))))</f>
        <v>D+</v>
      </c>
      <c r="O23" s="9" t="str">
        <f t="shared" si="3"/>
        <v>Trung bình yếu</v>
      </c>
    </row>
  </sheetData>
  <mergeCells count="10">
    <mergeCell ref="F2:O3"/>
    <mergeCell ref="F4:F6"/>
    <mergeCell ref="G4:G6"/>
    <mergeCell ref="H4:H6"/>
    <mergeCell ref="I4:N4"/>
    <mergeCell ref="O4:O6"/>
    <mergeCell ref="I5:I6"/>
    <mergeCell ref="J5:J6"/>
    <mergeCell ref="K5:K6"/>
    <mergeCell ref="L5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A967-D01C-4CBD-ADBF-C8F4B186DE3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2CD2-2C68-4846-AD51-251214A54942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0FFD-DF6C-44D9-A0D4-5C722F89E6DA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HK6 2024-2025</vt:lpstr>
      <vt:lpstr>HK7 2025-2026</vt:lpstr>
      <vt:lpstr>HK8 2025-2026</vt:lpstr>
      <vt:lpstr>Semi-final Year 2026 - 2027</vt:lpstr>
      <vt:lpstr>Final Year 2026 - 2027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Pea Shooter</cp:lastModifiedBy>
  <dcterms:created xsi:type="dcterms:W3CDTF">2024-05-08T08:30:43Z</dcterms:created>
  <dcterms:modified xsi:type="dcterms:W3CDTF">2026-01-06T12:54:39Z</dcterms:modified>
</cp:coreProperties>
</file>